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5B62F0F8-C81C-4CF0-B5AA-8787DF01F710}" xr6:coauthVersionLast="47" xr6:coauthVersionMax="47" xr10:uidLastSave="{00000000-0000-0000-0000-000000000000}"/>
  <bookViews>
    <workbookView xWindow="-108" yWindow="612" windowWidth="23256" windowHeight="12456" activeTab="2" xr2:uid="{00000000-000D-0000-FFFF-FFFF00000000}"/>
  </bookViews>
  <sheets>
    <sheet name="analyze" sheetId="1" r:id="rId1"/>
    <sheet name="position" sheetId="2" r:id="rId2"/>
    <sheet name="Sheet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2" l="1"/>
  <c r="K35" i="2"/>
  <c r="J35" i="2"/>
  <c r="I35" i="2"/>
  <c r="H35" i="2"/>
  <c r="G35" i="2"/>
  <c r="F35" i="2"/>
  <c r="E35" i="2"/>
  <c r="D35" i="2"/>
  <c r="C35" i="2"/>
  <c r="L33" i="2"/>
  <c r="K33" i="2"/>
  <c r="J33" i="2"/>
  <c r="I33" i="2"/>
  <c r="H33" i="2"/>
  <c r="G33" i="2"/>
  <c r="F33" i="2"/>
  <c r="E33" i="2"/>
  <c r="D33" i="2"/>
  <c r="C33" i="2"/>
  <c r="D31" i="2"/>
  <c r="E31" i="2"/>
  <c r="F31" i="2"/>
  <c r="G31" i="2"/>
  <c r="H31" i="2"/>
  <c r="I31" i="2"/>
  <c r="J31" i="2"/>
  <c r="K31" i="2"/>
  <c r="L31" i="2"/>
  <c r="C31" i="2"/>
  <c r="N27" i="1"/>
  <c r="N23" i="1"/>
  <c r="H7" i="1" l="1"/>
  <c r="H8" i="1"/>
  <c r="H4" i="1"/>
  <c r="H5" i="1"/>
  <c r="H6" i="1"/>
  <c r="H9" i="1"/>
  <c r="H16" i="1"/>
  <c r="H17" i="1"/>
  <c r="H18" i="1"/>
  <c r="H10" i="1"/>
  <c r="H11" i="1"/>
  <c r="H12" i="1"/>
  <c r="H19" i="1"/>
  <c r="H20" i="1"/>
  <c r="H13" i="1"/>
  <c r="H21" i="1"/>
  <c r="H14" i="1"/>
  <c r="H15" i="1"/>
  <c r="H26" i="1"/>
  <c r="H22" i="1"/>
  <c r="H23" i="1"/>
  <c r="H27" i="1"/>
  <c r="H28" i="1"/>
  <c r="H24" i="1"/>
  <c r="H25" i="1"/>
  <c r="H29" i="1"/>
  <c r="H31" i="1"/>
  <c r="H30" i="1"/>
  <c r="H33" i="1"/>
  <c r="H34" i="1"/>
  <c r="H32" i="1"/>
</calcChain>
</file>

<file path=xl/sharedStrings.xml><?xml version="1.0" encoding="utf-8"?>
<sst xmlns="http://schemas.openxmlformats.org/spreadsheetml/2006/main" count="503" uniqueCount="218">
  <si>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</si>
  <si>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</si>
  <si>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</si>
  <si>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</si>
  <si>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</si>
  <si>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</si>
  <si>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</si>
  <si>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</si>
  <si>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</si>
  <si>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</si>
  <si>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</si>
  <si>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</si>
  <si>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</si>
  <si>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</si>
  <si>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</si>
  <si>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</si>
  <si>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</si>
  <si>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</si>
  <si>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</si>
  <si>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</si>
  <si>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</si>
  <si>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</si>
  <si>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</si>
  <si>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</si>
  <si>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</si>
  <si>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</si>
  <si>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;</t>
  </si>
  <si>
    <t>,</t>
  </si>
  <si>
    <t>.</t>
  </si>
  <si>
    <t>/</t>
  </si>
  <si>
    <t>name</t>
  </si>
  <si>
    <t>L</t>
  </si>
  <si>
    <t>R</t>
  </si>
  <si>
    <t>pinkie</t>
  </si>
  <si>
    <t xml:space="preserve"> ' ( quto )</t>
  </si>
  <si>
    <t>Glyph</t>
  </si>
  <si>
    <t>Command Name</t>
  </si>
  <si>
    <t>%</t>
  </si>
  <si>
    <t>↑</t>
  </si>
  <si>
    <t>previous-line</t>
  </si>
  <si>
    <t>↓</t>
  </si>
  <si>
    <t>next-line</t>
  </si>
  <si>
    <t>←</t>
  </si>
  <si>
    <t>backward-char</t>
  </si>
  <si>
    <t>←w</t>
  </si>
  <si>
    <t>backward-word</t>
  </si>
  <si>
    <t>←¶</t>
  </si>
  <si>
    <t>backward-paragraph</t>
  </si>
  <si>
    <t>|←</t>
  </si>
  <si>
    <t>move-beginning-of-line</t>
  </si>
  <si>
    <t>→</t>
  </si>
  <si>
    <t>forward-char</t>
  </si>
  <si>
    <t>→w</t>
  </si>
  <si>
    <t>forward-word</t>
  </si>
  <si>
    <t>→¶</t>
  </si>
  <si>
    <t>forward-paragraph</t>
  </si>
  <si>
    <t>→|</t>
  </si>
  <si>
    <t>move-end-of-line</t>
  </si>
  <si>
    <t>▲</t>
  </si>
  <si>
    <t>scroll-down (page up)</t>
  </si>
  <si>
    <t>▼</t>
  </si>
  <si>
    <t>scroll-up (page down)</t>
  </si>
  <si>
    <t>|◀</t>
  </si>
  <si>
    <t>beginning-of-buffer</t>
  </si>
  <si>
    <t>▶|</t>
  </si>
  <si>
    <t>end-of-buffer</t>
  </si>
  <si>
    <t>⌫</t>
  </si>
  <si>
    <t>delete-backward-char</t>
  </si>
  <si>
    <t>⌫w</t>
  </si>
  <si>
    <t>backward-kill-word</t>
  </si>
  <si>
    <t>|⌫</t>
  </si>
  <si>
    <t>kill-line-backward</t>
  </si>
  <si>
    <t>⌦</t>
  </si>
  <si>
    <t>delete-char</t>
  </si>
  <si>
    <t>⌦w</t>
  </si>
  <si>
    <t>kill-word</t>
  </si>
  <si>
    <t>⌦|</t>
  </si>
  <si>
    <t>kill-line</t>
  </si>
  <si>
    <t>copy</t>
  </si>
  <si>
    <t>kill-ring-save</t>
  </si>
  <si>
    <t>cut</t>
  </si>
  <si>
    <t>kill-region</t>
  </si>
  <si>
    <t>paste</t>
  </si>
  <si>
    <t>yank</t>
  </si>
  <si>
    <t>paste previous</t>
  </si>
  <si>
    <t>yank-pop</t>
  </si>
  <si>
    <t>set-mark</t>
  </si>
  <si>
    <t>undo</t>
  </si>
  <si>
    <t>M-x</t>
  </si>
  <si>
    <t>execute-extended-command</t>
  </si>
  <si>
    <t>Open</t>
  </si>
  <si>
    <t>find-file, dired-advertised-find-file</t>
  </si>
  <si>
    <t>Close</t>
  </si>
  <si>
    <t>kill-buffer, close-current-buffer</t>
  </si>
  <si>
    <t>Save</t>
  </si>
  <si>
    <t>save-buffer</t>
  </si>
  <si>
    <t>Save As</t>
  </si>
  <si>
    <t>write-file</t>
  </si>
  <si>
    <t>select to Left word</t>
  </si>
  <si>
    <t>select to Right word</t>
  </si>
  <si>
    <t>select current line</t>
  </si>
  <si>
    <t>backspace</t>
  </si>
  <si>
    <t>delete current line</t>
  </si>
  <si>
    <t>deselect</t>
  </si>
  <si>
    <t>delete</t>
  </si>
  <si>
    <t>save</t>
  </si>
  <si>
    <t>Q</t>
  </si>
  <si>
    <t>W</t>
  </si>
  <si>
    <t>E</t>
  </si>
  <si>
    <t>T</t>
  </si>
  <si>
    <t>Y</t>
  </si>
  <si>
    <t>U</t>
  </si>
  <si>
    <t>I</t>
  </si>
  <si>
    <t>O</t>
  </si>
  <si>
    <t>P</t>
  </si>
  <si>
    <t>A</t>
  </si>
  <si>
    <t>S</t>
  </si>
  <si>
    <t>D</t>
  </si>
  <si>
    <t>F</t>
  </si>
  <si>
    <t>G</t>
  </si>
  <si>
    <t>H</t>
  </si>
  <si>
    <t>J</t>
  </si>
  <si>
    <t>K</t>
  </si>
  <si>
    <t>N</t>
  </si>
  <si>
    <t>M</t>
  </si>
  <si>
    <t>B</t>
  </si>
  <si>
    <t>V</t>
  </si>
  <si>
    <t>C</t>
  </si>
  <si>
    <t>X</t>
  </si>
  <si>
    <t>Z</t>
  </si>
  <si>
    <t>normal operation</t>
  </si>
  <si>
    <t xml:space="preserve">Selection </t>
  </si>
  <si>
    <t>command usage</t>
    <phoneticPr fontId="3" type="noConversion"/>
  </si>
  <si>
    <t>Which key is easy to click</t>
    <phoneticPr fontId="3" type="noConversion"/>
  </si>
  <si>
    <t>complexity</t>
    <phoneticPr fontId="3" type="noConversion"/>
  </si>
  <si>
    <t>stand positioin + move up</t>
    <phoneticPr fontId="3" type="noConversion"/>
  </si>
  <si>
    <t>stand position + move down</t>
    <phoneticPr fontId="3" type="noConversion"/>
  </si>
  <si>
    <t>stand position + move left</t>
    <phoneticPr fontId="3" type="noConversion"/>
  </si>
  <si>
    <t>stand position + right</t>
    <phoneticPr fontId="3" type="noConversion"/>
  </si>
  <si>
    <t>Left hand or Right hand</t>
    <phoneticPr fontId="3" type="noConversion"/>
  </si>
  <si>
    <t>operation</t>
    <phoneticPr fontId="3" type="noConversion"/>
  </si>
  <si>
    <t>object</t>
    <phoneticPr fontId="3" type="noConversion"/>
  </si>
  <si>
    <t>move</t>
    <phoneticPr fontId="3" type="noConversion"/>
  </si>
  <si>
    <t>line</t>
    <phoneticPr fontId="3" type="noConversion"/>
  </si>
  <si>
    <t>word</t>
    <phoneticPr fontId="3" type="noConversion"/>
  </si>
  <si>
    <t>char</t>
    <phoneticPr fontId="3" type="noConversion"/>
  </si>
  <si>
    <t>backspace</t>
    <phoneticPr fontId="3" type="noConversion"/>
  </si>
  <si>
    <t>paste</t>
    <phoneticPr fontId="3" type="noConversion"/>
  </si>
  <si>
    <t>save</t>
    <phoneticPr fontId="3" type="noConversion"/>
  </si>
  <si>
    <t>delete</t>
    <phoneticPr fontId="3" type="noConversion"/>
  </si>
  <si>
    <t>undo</t>
    <phoneticPr fontId="3" type="noConversion"/>
  </si>
  <si>
    <t>copy</t>
    <phoneticPr fontId="3" type="noConversion"/>
  </si>
  <si>
    <t>cut</t>
    <phoneticPr fontId="3" type="noConversion"/>
  </si>
  <si>
    <t>m-line</t>
    <phoneticPr fontId="3" type="noConversion"/>
  </si>
  <si>
    <t>doc</t>
    <phoneticPr fontId="3" type="noConversion"/>
  </si>
  <si>
    <t>key</t>
    <phoneticPr fontId="3" type="noConversion"/>
  </si>
  <si>
    <t>operator</t>
    <phoneticPr fontId="3" type="noConversion"/>
  </si>
  <si>
    <t>w</t>
    <phoneticPr fontId="3" type="noConversion"/>
  </si>
  <si>
    <t>e</t>
    <phoneticPr fontId="3" type="noConversion"/>
  </si>
  <si>
    <t>b</t>
    <phoneticPr fontId="3" type="noConversion"/>
  </si>
  <si>
    <t>addition key</t>
    <phoneticPr fontId="3" type="noConversion"/>
  </si>
  <si>
    <t>d</t>
    <phoneticPr fontId="3" type="noConversion"/>
  </si>
  <si>
    <t>y</t>
    <phoneticPr fontId="3" type="noConversion"/>
  </si>
  <si>
    <t>x</t>
    <phoneticPr fontId="3" type="noConversion"/>
  </si>
  <si>
    <t>shift</t>
    <phoneticPr fontId="3" type="noConversion"/>
  </si>
  <si>
    <t>j</t>
    <phoneticPr fontId="3" type="noConversion"/>
  </si>
  <si>
    <t>k</t>
    <phoneticPr fontId="3" type="noConversion"/>
  </si>
  <si>
    <t>l</t>
    <phoneticPr fontId="3" type="noConversion"/>
  </si>
  <si>
    <t>h</t>
    <phoneticPr fontId="3" type="noConversion"/>
  </si>
  <si>
    <t>t</t>
    <phoneticPr fontId="3" type="noConversion"/>
  </si>
  <si>
    <t>addition key 2</t>
    <phoneticPr fontId="3" type="noConversion"/>
  </si>
  <si>
    <t>a</t>
    <phoneticPr fontId="3" type="noConversion"/>
  </si>
  <si>
    <t>VIM operation setting</t>
    <phoneticPr fontId="3" type="noConversion"/>
  </si>
  <si>
    <t>fast move</t>
  </si>
  <si>
    <t xml:space="preserve">basic move </t>
  </si>
  <si>
    <t>line operation</t>
  </si>
  <si>
    <t>word left</t>
  </si>
  <si>
    <t>line begin</t>
  </si>
  <si>
    <t>line down</t>
  </si>
  <si>
    <t>line up</t>
  </si>
  <si>
    <t>word right</t>
  </si>
  <si>
    <t>line end</t>
  </si>
  <si>
    <t>char right</t>
  </si>
  <si>
    <t>5 line up</t>
  </si>
  <si>
    <t>5 line down</t>
  </si>
  <si>
    <t>char left</t>
  </si>
  <si>
    <t>3 word right</t>
  </si>
  <si>
    <t>3 word left</t>
  </si>
  <si>
    <t>delete to begin</t>
  </si>
  <si>
    <t>delete to end</t>
  </si>
  <si>
    <t>char</t>
  </si>
  <si>
    <t>begin</t>
  </si>
  <si>
    <t>end</t>
  </si>
  <si>
    <t>whole</t>
  </si>
  <si>
    <t>word</t>
  </si>
  <si>
    <t>line</t>
  </si>
  <si>
    <t>next</t>
  </si>
  <si>
    <t>previous</t>
  </si>
  <si>
    <t>doc</t>
  </si>
  <si>
    <t>previous-m</t>
  </si>
  <si>
    <t>next-m</t>
  </si>
  <si>
    <t>scope</t>
  </si>
  <si>
    <t>action</t>
  </si>
  <si>
    <t>operation</t>
  </si>
  <si>
    <t>command mode</t>
  </si>
  <si>
    <t>advaced</t>
  </si>
  <si>
    <t>delete from end</t>
  </si>
  <si>
    <t>delete from begin</t>
  </si>
  <si>
    <t>mode</t>
  </si>
  <si>
    <t>selet</t>
  </si>
  <si>
    <t>alt mode</t>
  </si>
  <si>
    <t>paste to end</t>
  </si>
  <si>
    <t>insert new line</t>
  </si>
  <si>
    <t>diff</t>
  </si>
  <si>
    <t>quick command mode</t>
  </si>
  <si>
    <t>2 hand command
1 hand command
alt mode</t>
  </si>
  <si>
    <t>frequency</t>
  </si>
  <si>
    <t>key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</si>
</sst>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8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shrinkToFit="1"/>
    </xf>
    <xf numFmtId="0" fontId="0" fillId="0" borderId="0" xfId="0" quotePrefix="1" applyAlignment="1">
      <alignment shrinkToFit="1"/>
    </xf>
    <xf numFmtId="0" fontId="0" fillId="0" borderId="0" xfId="0" applyAlignment="1">
      <alignment vertical="center" shrinkToFit="1"/>
    </xf>
    <xf numFmtId="0" fontId="0" fillId="0" borderId="0" xfId="0" quotePrefix="1"/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0" fillId="4" borderId="1" xfId="0" applyFill="1" applyBorder="1"/>
    <xf numFmtId="0" fontId="0" fillId="4" borderId="2" xfId="0" applyFill="1" applyBorder="1"/>
    <xf numFmtId="0" fontId="0" fillId="2" borderId="1" xfId="0" applyFill="1" applyBorder="1"/>
    <xf numFmtId="0" fontId="0" fillId="2" borderId="2" xfId="0" applyFill="1" applyBorder="1"/>
    <xf numFmtId="0" fontId="0" fillId="5" borderId="1" xfId="0" applyFill="1" applyBorder="1"/>
    <xf numFmtId="0" fontId="0" fillId="2" borderId="3" xfId="0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0" borderId="2" xfId="0" applyFont="1" applyBorder="1"/>
    <xf numFmtId="0" fontId="1" fillId="3" borderId="2" xfId="0" applyFont="1" applyFill="1" applyBorder="1"/>
    <xf numFmtId="0" fontId="0" fillId="0" borderId="5" xfId="0" applyBorder="1" applyAlignment="1">
      <alignment shrinkToFit="1"/>
    </xf>
    <xf numFmtId="0" fontId="0" fillId="0" borderId="5" xfId="0" applyBorder="1" applyAlignment="1">
      <alignment wrapText="1"/>
    </xf>
    <xf numFmtId="0" fontId="0" fillId="0" borderId="5" xfId="0" applyBorder="1" applyAlignment="1">
      <alignment wrapText="1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wrapText="1"/>
    </xf>
    <xf numFmtId="0" fontId="0" fillId="9" borderId="1" xfId="0" applyFill="1" applyBorder="1"/>
    <xf numFmtId="0" fontId="0" fillId="3" borderId="2" xfId="0" applyFill="1" applyBorder="1"/>
    <xf numFmtId="0" fontId="0" fillId="10" borderId="6" xfId="0" applyFill="1" applyBorder="1"/>
    <xf numFmtId="0" fontId="0" fillId="11" borderId="6" xfId="0" applyFill="1" applyBorder="1"/>
    <xf numFmtId="0" fontId="1" fillId="12" borderId="1" xfId="0" applyFont="1" applyFill="1" applyBorder="1"/>
    <xf numFmtId="0" fontId="0" fillId="12" borderId="3" xfId="0" applyFill="1" applyBorder="1"/>
    <xf numFmtId="0" fontId="0" fillId="12" borderId="2" xfId="0" applyFill="1" applyBorder="1"/>
    <xf numFmtId="0" fontId="1" fillId="12" borderId="2" xfId="0" applyFont="1" applyFill="1" applyBorder="1"/>
    <xf numFmtId="0" fontId="0" fillId="12" borderId="1" xfId="0" applyFill="1" applyBorder="1"/>
    <xf numFmtId="0" fontId="0" fillId="13" borderId="6" xfId="0" applyFill="1" applyBorder="1"/>
    <xf numFmtId="0" fontId="0" fillId="14" borderId="6" xfId="0" applyFill="1" applyBorder="1"/>
    <xf numFmtId="0" fontId="1" fillId="10" borderId="6" xfId="0" applyFont="1" applyFill="1" applyBorder="1"/>
    <xf numFmtId="0" fontId="1" fillId="11" borderId="6" xfId="0" applyFont="1" applyFill="1" applyBorder="1"/>
    <xf numFmtId="0" fontId="1" fillId="13" borderId="6" xfId="0" applyFont="1" applyFill="1" applyBorder="1"/>
    <xf numFmtId="0" fontId="1" fillId="14" borderId="6" xfId="0" applyFont="1" applyFill="1" applyBorder="1"/>
    <xf numFmtId="0" fontId="0" fillId="10" borderId="8" xfId="0" applyFill="1" applyBorder="1"/>
    <xf numFmtId="0" fontId="0" fillId="11" borderId="8" xfId="0" applyFill="1" applyBorder="1"/>
    <xf numFmtId="0" fontId="0" fillId="13" borderId="8" xfId="0" applyFill="1" applyBorder="1"/>
    <xf numFmtId="0" fontId="0" fillId="14" borderId="8" xfId="0" applyFill="1" applyBorder="1"/>
    <xf numFmtId="0" fontId="1" fillId="10" borderId="7" xfId="0" applyFont="1" applyFill="1" applyBorder="1"/>
    <xf numFmtId="0" fontId="1" fillId="11" borderId="7" xfId="0" applyFont="1" applyFill="1" applyBorder="1"/>
    <xf numFmtId="0" fontId="1" fillId="13" borderId="7" xfId="0" applyFont="1" applyFill="1" applyBorder="1"/>
    <xf numFmtId="0" fontId="1" fillId="14" borderId="7" xfId="0" applyFont="1" applyFill="1" applyBorder="1"/>
    <xf numFmtId="0" fontId="0" fillId="0" borderId="9" xfId="0" applyBorder="1"/>
    <xf numFmtId="0" fontId="0" fillId="0" borderId="10" xfId="0" applyBorder="1"/>
    <xf numFmtId="0" fontId="0" fillId="14" borderId="11" xfId="0" applyFill="1" applyBorder="1"/>
    <xf numFmtId="0" fontId="0" fillId="14" borderId="1" xfId="0" applyFill="1" applyBorder="1"/>
    <xf numFmtId="0" fontId="1" fillId="14" borderId="1" xfId="0" applyFont="1" applyFill="1" applyBorder="1"/>
    <xf numFmtId="0" fontId="1" fillId="14" borderId="12" xfId="0" applyFont="1" applyFill="1" applyBorder="1"/>
    <xf numFmtId="0" fontId="0" fillId="2" borderId="0" xfId="0" applyFill="1"/>
    <xf numFmtId="0" fontId="2" fillId="15" borderId="0" xfId="0" applyFont="1" applyFill="1"/>
    <xf numFmtId="0" fontId="0" fillId="16" borderId="0" xfId="0" applyFill="1"/>
    <xf numFmtId="0" fontId="0" fillId="16" borderId="1" xfId="0" applyFill="1" applyBorder="1"/>
    <xf numFmtId="0" fontId="0" fillId="16" borderId="2" xfId="0" applyFill="1" applyBorder="1"/>
    <xf numFmtId="0" fontId="1" fillId="16" borderId="1" xfId="0" applyFont="1" applyFill="1" applyBorder="1"/>
    <xf numFmtId="0" fontId="0" fillId="16" borderId="3" xfId="0" applyFill="1" applyBorder="1"/>
    <xf numFmtId="0" fontId="0" fillId="17" borderId="0" xfId="0" applyFill="1"/>
    <xf numFmtId="0" fontId="1" fillId="17" borderId="1" xfId="0" applyFont="1" applyFill="1" applyBorder="1"/>
    <xf numFmtId="0" fontId="0" fillId="17" borderId="2" xfId="0" applyFill="1" applyBorder="1"/>
    <xf numFmtId="0" fontId="1" fillId="16" borderId="2" xfId="0" applyFont="1" applyFill="1" applyBorder="1"/>
    <xf numFmtId="0" fontId="0" fillId="12" borderId="6" xfId="0" applyFill="1" applyBorder="1" applyAlignment="1">
      <alignment wrapText="1"/>
    </xf>
    <xf numFmtId="0" fontId="0" fillId="18" borderId="6" xfId="0" applyFill="1" applyBorder="1" applyAlignment="1">
      <alignment wrapText="1"/>
    </xf>
    <xf numFmtId="0" fontId="1" fillId="18" borderId="6" xfId="0" applyFont="1" applyFill="1" applyBorder="1" applyAlignment="1">
      <alignment wrapText="1"/>
    </xf>
    <xf numFmtId="0" fontId="5" fillId="16" borderId="1" xfId="0" applyFont="1" applyFill="1" applyBorder="1"/>
    <xf numFmtId="0" fontId="5" fillId="16" borderId="2" xfId="0" applyFont="1" applyFill="1" applyBorder="1"/>
    <xf numFmtId="0" fontId="6" fillId="3" borderId="2" xfId="0" applyFont="1" applyFill="1" applyBorder="1"/>
    <xf numFmtId="0" fontId="5" fillId="3" borderId="3" xfId="0" applyFont="1" applyFill="1" applyBorder="1"/>
    <xf numFmtId="0" fontId="6" fillId="2" borderId="1" xfId="0" applyFont="1" applyFill="1" applyBorder="1"/>
    <xf numFmtId="0" fontId="5" fillId="2" borderId="3" xfId="0" applyFont="1" applyFill="1" applyBorder="1"/>
    <xf numFmtId="0" fontId="5" fillId="3" borderId="1" xfId="0" applyFont="1" applyFill="1" applyBorder="1"/>
    <xf numFmtId="0" fontId="5" fillId="3" borderId="2" xfId="0" applyFont="1" applyFill="1" applyBorder="1"/>
    <xf numFmtId="0" fontId="6" fillId="2" borderId="2" xfId="0" applyFont="1" applyFill="1" applyBorder="1"/>
    <xf numFmtId="0" fontId="5" fillId="2" borderId="2" xfId="0" applyFont="1" applyFill="1" applyBorder="1"/>
    <xf numFmtId="0" fontId="0" fillId="0" borderId="0" xfId="0" applyAlignment="1">
      <alignment wrapText="1"/>
    </xf>
    <xf numFmtId="0" fontId="2" fillId="6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7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8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border>
        <bottom style="thin">
          <color theme="0"/>
        </bottom>
      </border>
    </dxf>
    <dxf>
      <alignment horizontal="general" vertical="bottom" textRotation="0" wrapText="0" indent="0" justifyLastLine="0" shrinkToFit="1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numFmt numFmtId="0" formatCode="General"/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border>
        <bottom style="thin">
          <color theme="0"/>
        </bottom>
      </border>
    </dxf>
    <dxf>
      <alignment horizontal="general" vertical="bottom" textRotation="0" wrapText="0" indent="0" justifyLastLine="0" shrinkToFit="1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34" totalsRowShown="0" headerRowDxfId="40" dataDxfId="38" headerRowBorderDxfId="39">
  <autoFilter ref="A3:H34" xr:uid="{00000000-0009-0000-0100-000001000000}"/>
  <sortState xmlns:xlrd2="http://schemas.microsoft.com/office/spreadsheetml/2017/richdata2" ref="A2:H32">
    <sortCondition ref="H1:H32"/>
  </sortState>
  <tableColumns count="8">
    <tableColumn id="1" xr3:uid="{00000000-0010-0000-0000-000001000000}" name="name" dataDxfId="37"/>
    <tableColumn id="8" xr3:uid="{00000000-0010-0000-0000-000008000000}" name="Left hand or Right hand" dataDxfId="36"/>
    <tableColumn id="2" xr3:uid="{00000000-0010-0000-0000-000002000000}" name="pinkie" dataDxfId="35"/>
    <tableColumn id="3" xr3:uid="{00000000-0010-0000-0000-000003000000}" name="stand positioin + move up" dataDxfId="34"/>
    <tableColumn id="4" xr3:uid="{00000000-0010-0000-0000-000004000000}" name="stand position + move down" dataDxfId="33"/>
    <tableColumn id="5" xr3:uid="{00000000-0010-0000-0000-000005000000}" name="stand position + move left" dataDxfId="32"/>
    <tableColumn id="6" xr3:uid="{00000000-0010-0000-0000-000006000000}" name="stand position + right" dataDxfId="31"/>
    <tableColumn id="7" xr3:uid="{00000000-0010-0000-0000-000007000000}" name="complexity" dataDxfId="30">
      <calculatedColumnFormula>C4+D4+E4*1.5+F4+G4+IF(B4="L",0.5,0)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J3:N34" totalsRowShown="0" headerRowDxfId="29" dataDxfId="27" headerRowBorderDxfId="28">
  <autoFilter ref="J3:N34" xr:uid="{00000000-0009-0000-0100-000002000000}"/>
  <sortState xmlns:xlrd2="http://schemas.microsoft.com/office/spreadsheetml/2017/richdata2" ref="J2:N32">
    <sortCondition descending="1" ref="N1:N32"/>
  </sortState>
  <tableColumns count="5">
    <tableColumn id="1" xr3:uid="{00000000-0010-0000-0100-000001000000}" name="Glyph" dataDxfId="26"/>
    <tableColumn id="4" xr3:uid="{00000000-0010-0000-0100-000004000000}" name="operation" dataDxfId="25"/>
    <tableColumn id="5" xr3:uid="{00000000-0010-0000-0100-000005000000}" name="object" dataDxfId="24"/>
    <tableColumn id="2" xr3:uid="{00000000-0010-0000-0100-000002000000}" name="Command Name" dataDxfId="23"/>
    <tableColumn id="3" xr3:uid="{00000000-0010-0000-0100-000003000000}" name="%" dataDxfId="2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P3:U23" totalsRowShown="0" headerRowDxfId="21" dataDxfId="19" headerRowBorderDxfId="20">
  <autoFilter ref="P3:U23" xr:uid="{00000000-0009-0000-0100-000003000000}"/>
  <sortState xmlns:xlrd2="http://schemas.microsoft.com/office/spreadsheetml/2017/richdata2" ref="P4:U23">
    <sortCondition ref="U3:U23"/>
  </sortState>
  <tableColumns count="6">
    <tableColumn id="1" xr3:uid="{00000000-0010-0000-0200-000001000000}" name="key" dataDxfId="18"/>
    <tableColumn id="2" xr3:uid="{00000000-0010-0000-0200-000002000000}" name="addition key" dataDxfId="17"/>
    <tableColumn id="3" xr3:uid="{00000000-0010-0000-0200-000003000000}" name="addition key 2" dataDxfId="16"/>
    <tableColumn id="4" xr3:uid="{00000000-0010-0000-0200-000004000000}" name="operator" dataDxfId="15"/>
    <tableColumn id="5" xr3:uid="{00000000-0010-0000-0200-000005000000}" name="object" dataDxfId="14"/>
    <tableColumn id="6" xr3:uid="{00000000-0010-0000-0200-000006000000}" name="complexity" dataDxfId="1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26C836-5630-42A8-9E60-B6D5C4357DC3}" name="Table4" displayName="Table4" ref="C3:J22" totalsRowShown="0" headerRowDxfId="12" dataDxfId="10" headerRowBorderDxfId="11" tableBorderDxfId="9" totalsRowBorderDxfId="8">
  <autoFilter ref="C3:J22" xr:uid="{8426C836-5630-42A8-9E60-B6D5C4357DC3}"/>
  <tableColumns count="8">
    <tableColumn id="1" xr3:uid="{9534380F-BDF3-45A2-A027-E27E01550E63}" name="scope" dataDxfId="7"/>
    <tableColumn id="3" xr3:uid="{FAAAA2F4-5913-488C-B082-5D2F1A53EA4E}" name="action" dataDxfId="6"/>
    <tableColumn id="4" xr3:uid="{179A2274-8390-4C5A-88F0-F1CCB996CBF0}" name="frequency" dataDxfId="5"/>
    <tableColumn id="11" xr3:uid="{C9DEBDFB-86D8-4049-897D-66BA708AD1BA}" name="key strike" dataDxfId="4"/>
    <tableColumn id="5" xr3:uid="{8FF952CB-65B6-451E-99A6-1CCDA636B5D5}" name="delete" dataDxfId="3"/>
    <tableColumn id="12" xr3:uid="{2358DF74-7460-4D76-AE6B-64A87C2DB7D6}" name="backspace" dataDxfId="2"/>
    <tableColumn id="6" xr3:uid="{42D8DB81-76B1-419C-AA95-B3AD06B1DBD1}" name="copy" dataDxfId="1"/>
    <tableColumn id="9" xr3:uid="{66491760-7AA0-4776-968E-FB6094CFC25F}" name="cu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4"/>
  <sheetViews>
    <sheetView workbookViewId="0">
      <selection activeCell="L26" sqref="L26"/>
    </sheetView>
  </sheetViews>
  <sheetFormatPr defaultColWidth="9.109375" defaultRowHeight="14.4"/>
  <cols>
    <col min="1" max="1" width="8.33203125" style="1" bestFit="1" customWidth="1"/>
    <col min="2" max="2" width="16.44140625" style="1" customWidth="1"/>
    <col min="3" max="3" width="10.44140625" style="1" bestFit="1" customWidth="1"/>
    <col min="4" max="4" width="17.88671875" style="1" customWidth="1"/>
    <col min="5" max="5" width="16.5546875" style="1" customWidth="1"/>
    <col min="6" max="6" width="17.44140625" style="1" customWidth="1"/>
    <col min="7" max="7" width="17" style="1" customWidth="1"/>
    <col min="8" max="8" width="19" style="1" bestFit="1" customWidth="1"/>
    <col min="9" max="9" width="9.109375" style="1"/>
    <col min="10" max="10" width="10.88671875" style="1" bestFit="1" customWidth="1"/>
    <col min="11" max="11" width="13.33203125" style="1" customWidth="1"/>
    <col min="12" max="12" width="10.88671875" style="1" customWidth="1"/>
    <col min="13" max="13" width="52.6640625" style="1" customWidth="1"/>
    <col min="14" max="14" width="17.44140625" style="1" customWidth="1"/>
    <col min="15" max="16" width="9.109375" style="1"/>
    <col min="17" max="17" width="14.6640625" style="1" customWidth="1"/>
    <col min="18" max="18" width="16.6640625" style="1" customWidth="1"/>
    <col min="19" max="19" width="10.6640625" style="1" customWidth="1"/>
    <col min="20" max="20" width="9.109375" style="1"/>
    <col min="21" max="21" width="12.6640625" style="1" customWidth="1"/>
    <col min="22" max="16384" width="9.109375" style="1"/>
  </cols>
  <sheetData>
    <row r="2" spans="1:21">
      <c r="A2" s="80" t="s">
        <v>133</v>
      </c>
      <c r="B2" s="81"/>
      <c r="C2" s="81"/>
      <c r="D2" s="81"/>
      <c r="E2" s="81"/>
      <c r="F2" s="81"/>
      <c r="G2" s="81"/>
      <c r="H2" s="81"/>
      <c r="J2" s="82" t="s">
        <v>132</v>
      </c>
      <c r="K2" s="82"/>
      <c r="L2" s="82"/>
      <c r="M2" s="83"/>
      <c r="N2" s="83"/>
      <c r="P2" s="84" t="s">
        <v>172</v>
      </c>
      <c r="Q2" s="85"/>
      <c r="R2" s="85"/>
      <c r="S2" s="85"/>
      <c r="T2" s="85"/>
      <c r="U2" s="85"/>
    </row>
    <row r="3" spans="1:21" ht="27.75" customHeight="1">
      <c r="A3" s="21" t="s">
        <v>30</v>
      </c>
      <c r="B3" s="23" t="s">
        <v>139</v>
      </c>
      <c r="C3" s="21" t="s">
        <v>33</v>
      </c>
      <c r="D3" s="22" t="s">
        <v>135</v>
      </c>
      <c r="E3" s="22" t="s">
        <v>136</v>
      </c>
      <c r="F3" s="22" t="s">
        <v>137</v>
      </c>
      <c r="G3" s="22" t="s">
        <v>138</v>
      </c>
      <c r="H3" s="21" t="s">
        <v>134</v>
      </c>
      <c r="J3" s="24" t="s">
        <v>35</v>
      </c>
      <c r="K3" s="25" t="s">
        <v>140</v>
      </c>
      <c r="L3" s="24" t="s">
        <v>141</v>
      </c>
      <c r="M3" s="24" t="s">
        <v>36</v>
      </c>
      <c r="N3" s="24" t="s">
        <v>37</v>
      </c>
      <c r="P3" s="21" t="s">
        <v>155</v>
      </c>
      <c r="Q3" s="21" t="s">
        <v>160</v>
      </c>
      <c r="R3" s="21" t="s">
        <v>170</v>
      </c>
      <c r="S3" s="21" t="s">
        <v>156</v>
      </c>
      <c r="T3" s="21" t="s">
        <v>141</v>
      </c>
      <c r="U3" s="21" t="s">
        <v>134</v>
      </c>
    </row>
    <row r="4" spans="1:21">
      <c r="A4" s="1" t="s">
        <v>9</v>
      </c>
      <c r="B4" s="1" t="s">
        <v>32</v>
      </c>
      <c r="H4" s="1">
        <f t="shared" ref="H4:H34" si="0">C4+D4+E4*1.5+F4+G4+IF(B4="L",0.5,0)</f>
        <v>0</v>
      </c>
      <c r="J4" s="3" t="s">
        <v>40</v>
      </c>
      <c r="K4" s="3" t="s">
        <v>142</v>
      </c>
      <c r="L4" s="3" t="s">
        <v>143</v>
      </c>
      <c r="M4" s="3" t="s">
        <v>41</v>
      </c>
      <c r="N4" s="3">
        <v>17.100000000000001</v>
      </c>
      <c r="P4" s="1" t="s">
        <v>157</v>
      </c>
      <c r="S4" s="1" t="s">
        <v>142</v>
      </c>
      <c r="T4" s="1" t="s">
        <v>144</v>
      </c>
      <c r="U4" s="1">
        <v>0</v>
      </c>
    </row>
    <row r="5" spans="1:21">
      <c r="A5" s="1" t="s">
        <v>10</v>
      </c>
      <c r="B5" s="1" t="s">
        <v>32</v>
      </c>
      <c r="H5" s="1">
        <f t="shared" si="0"/>
        <v>0</v>
      </c>
      <c r="J5" s="3" t="s">
        <v>38</v>
      </c>
      <c r="K5" s="3" t="s">
        <v>142</v>
      </c>
      <c r="L5" s="3" t="s">
        <v>143</v>
      </c>
      <c r="M5" s="3" t="s">
        <v>39</v>
      </c>
      <c r="N5" s="3">
        <v>15.48</v>
      </c>
      <c r="P5" s="1" t="s">
        <v>158</v>
      </c>
      <c r="S5" s="1" t="s">
        <v>142</v>
      </c>
      <c r="T5" s="1" t="s">
        <v>144</v>
      </c>
      <c r="U5" s="1">
        <v>0</v>
      </c>
    </row>
    <row r="6" spans="1:21">
      <c r="A6" s="1" t="s">
        <v>11</v>
      </c>
      <c r="B6" s="1" t="s">
        <v>32</v>
      </c>
      <c r="H6" s="1">
        <f t="shared" si="0"/>
        <v>0</v>
      </c>
      <c r="J6" s="3" t="s">
        <v>52</v>
      </c>
      <c r="K6" s="3" t="s">
        <v>142</v>
      </c>
      <c r="L6" s="3" t="s">
        <v>144</v>
      </c>
      <c r="M6" s="3" t="s">
        <v>53</v>
      </c>
      <c r="N6" s="3">
        <v>6.19</v>
      </c>
      <c r="P6" s="1" t="s">
        <v>159</v>
      </c>
      <c r="S6" s="1" t="s">
        <v>142</v>
      </c>
      <c r="T6" s="1" t="s">
        <v>144</v>
      </c>
      <c r="U6" s="1">
        <v>0</v>
      </c>
    </row>
    <row r="7" spans="1:21">
      <c r="A7" s="1" t="s">
        <v>3</v>
      </c>
      <c r="B7" s="1" t="s">
        <v>31</v>
      </c>
      <c r="H7" s="1">
        <f t="shared" si="0"/>
        <v>0.5</v>
      </c>
      <c r="J7" s="3" t="s">
        <v>50</v>
      </c>
      <c r="K7" s="3" t="s">
        <v>142</v>
      </c>
      <c r="L7" s="3" t="s">
        <v>145</v>
      </c>
      <c r="M7" s="3" t="s">
        <v>51</v>
      </c>
      <c r="N7" s="3">
        <v>5.51</v>
      </c>
      <c r="P7" s="1" t="s">
        <v>165</v>
      </c>
      <c r="S7" s="1" t="s">
        <v>142</v>
      </c>
      <c r="T7" s="1" t="s">
        <v>143</v>
      </c>
      <c r="U7" s="1">
        <v>0</v>
      </c>
    </row>
    <row r="8" spans="1:21">
      <c r="A8" s="1" t="s">
        <v>5</v>
      </c>
      <c r="B8" s="1" t="s">
        <v>31</v>
      </c>
      <c r="H8" s="1">
        <f t="shared" si="0"/>
        <v>0.5</v>
      </c>
      <c r="J8" s="3" t="s">
        <v>44</v>
      </c>
      <c r="K8" s="3" t="s">
        <v>142</v>
      </c>
      <c r="L8" s="3" t="s">
        <v>144</v>
      </c>
      <c r="M8" s="3" t="s">
        <v>45</v>
      </c>
      <c r="N8" s="3">
        <v>4.7</v>
      </c>
      <c r="P8" s="1" t="s">
        <v>166</v>
      </c>
      <c r="S8" s="1" t="s">
        <v>142</v>
      </c>
      <c r="T8" s="1" t="s">
        <v>143</v>
      </c>
      <c r="U8" s="1">
        <v>0</v>
      </c>
    </row>
    <row r="9" spans="1:21">
      <c r="A9" s="1" t="s">
        <v>18</v>
      </c>
      <c r="B9" s="1" t="s">
        <v>31</v>
      </c>
      <c r="H9" s="1">
        <f t="shared" si="0"/>
        <v>0.5</v>
      </c>
      <c r="J9" s="3" t="s">
        <v>42</v>
      </c>
      <c r="K9" s="3" t="s">
        <v>142</v>
      </c>
      <c r="L9" s="3" t="s">
        <v>145</v>
      </c>
      <c r="M9" s="3" t="s">
        <v>43</v>
      </c>
      <c r="N9" s="3">
        <v>3.23</v>
      </c>
      <c r="P9" s="1" t="s">
        <v>167</v>
      </c>
      <c r="S9" s="1" t="s">
        <v>142</v>
      </c>
      <c r="T9" s="1" t="s">
        <v>145</v>
      </c>
      <c r="U9" s="1">
        <v>0</v>
      </c>
    </row>
    <row r="10" spans="1:21">
      <c r="A10" s="1" t="s">
        <v>7</v>
      </c>
      <c r="B10" s="1" t="s">
        <v>32</v>
      </c>
      <c r="F10" s="1">
        <v>1</v>
      </c>
      <c r="H10" s="1">
        <f t="shared" si="0"/>
        <v>1</v>
      </c>
      <c r="J10" s="3" t="s">
        <v>66</v>
      </c>
      <c r="K10" s="3" t="s">
        <v>146</v>
      </c>
      <c r="L10" s="3" t="s">
        <v>145</v>
      </c>
      <c r="M10" s="3" t="s">
        <v>67</v>
      </c>
      <c r="N10" s="3">
        <v>3.12</v>
      </c>
      <c r="P10" s="1" t="s">
        <v>168</v>
      </c>
      <c r="S10" s="1" t="s">
        <v>142</v>
      </c>
      <c r="T10" s="1" t="s">
        <v>145</v>
      </c>
      <c r="U10" s="1">
        <v>0</v>
      </c>
    </row>
    <row r="11" spans="1:21">
      <c r="A11" s="1" t="s">
        <v>8</v>
      </c>
      <c r="B11" s="1" t="s">
        <v>32</v>
      </c>
      <c r="D11" s="1">
        <v>1</v>
      </c>
      <c r="H11" s="1">
        <f t="shared" si="0"/>
        <v>1</v>
      </c>
      <c r="J11" s="3" t="s">
        <v>48</v>
      </c>
      <c r="K11" s="3" t="s">
        <v>142</v>
      </c>
      <c r="L11" s="3" t="s">
        <v>143</v>
      </c>
      <c r="M11" s="3" t="s">
        <v>49</v>
      </c>
      <c r="N11" s="3">
        <v>1.8</v>
      </c>
      <c r="P11" s="1" t="s">
        <v>169</v>
      </c>
      <c r="S11" s="1" t="s">
        <v>149</v>
      </c>
      <c r="T11" s="1" t="s">
        <v>145</v>
      </c>
      <c r="U11" s="1">
        <v>0</v>
      </c>
    </row>
    <row r="12" spans="1:21">
      <c r="A12" s="1" t="s">
        <v>14</v>
      </c>
      <c r="B12" s="1" t="s">
        <v>32</v>
      </c>
      <c r="D12" s="1">
        <v>1</v>
      </c>
      <c r="H12" s="1">
        <f t="shared" si="0"/>
        <v>1</v>
      </c>
      <c r="J12" s="3" t="s">
        <v>68</v>
      </c>
      <c r="K12" s="3" t="s">
        <v>146</v>
      </c>
      <c r="L12" s="3" t="s">
        <v>144</v>
      </c>
      <c r="M12" s="3" t="s">
        <v>69</v>
      </c>
      <c r="N12" s="3">
        <v>1.68</v>
      </c>
      <c r="P12" s="1" t="s">
        <v>161</v>
      </c>
      <c r="Q12" s="1" t="s">
        <v>161</v>
      </c>
      <c r="S12" s="1" t="s">
        <v>149</v>
      </c>
      <c r="T12" s="1" t="s">
        <v>143</v>
      </c>
      <c r="U12" s="1">
        <v>0.5</v>
      </c>
    </row>
    <row r="13" spans="1:21">
      <c r="A13" s="1" t="s">
        <v>20</v>
      </c>
      <c r="B13" s="1" t="s">
        <v>32</v>
      </c>
      <c r="D13" s="1">
        <v>1</v>
      </c>
      <c r="H13" s="1">
        <f t="shared" si="0"/>
        <v>1</v>
      </c>
      <c r="J13" s="3" t="s">
        <v>82</v>
      </c>
      <c r="K13" s="3" t="s">
        <v>147</v>
      </c>
      <c r="L13" s="3"/>
      <c r="M13" s="3" t="s">
        <v>83</v>
      </c>
      <c r="N13" s="3">
        <v>1.36</v>
      </c>
      <c r="P13" s="1" t="s">
        <v>162</v>
      </c>
      <c r="Q13" s="1" t="s">
        <v>162</v>
      </c>
      <c r="S13" s="1" t="s">
        <v>151</v>
      </c>
      <c r="T13" s="1" t="s">
        <v>143</v>
      </c>
      <c r="U13" s="1">
        <v>0.5</v>
      </c>
    </row>
    <row r="14" spans="1:21">
      <c r="A14" s="1" t="s">
        <v>26</v>
      </c>
      <c r="B14" s="1" t="s">
        <v>32</v>
      </c>
      <c r="C14" s="1">
        <v>1</v>
      </c>
      <c r="H14" s="1">
        <f t="shared" si="0"/>
        <v>1</v>
      </c>
      <c r="J14" s="3" t="s">
        <v>94</v>
      </c>
      <c r="K14" s="3" t="s">
        <v>148</v>
      </c>
      <c r="L14" s="3"/>
      <c r="M14" s="3" t="s">
        <v>95</v>
      </c>
      <c r="N14" s="3">
        <v>1.29</v>
      </c>
      <c r="P14" s="1" t="s">
        <v>163</v>
      </c>
      <c r="Q14" s="1" t="s">
        <v>163</v>
      </c>
      <c r="S14" s="1" t="s">
        <v>152</v>
      </c>
      <c r="T14" s="1" t="s">
        <v>143</v>
      </c>
      <c r="U14" s="1">
        <v>0.5</v>
      </c>
    </row>
    <row r="15" spans="1:21">
      <c r="A15" s="2" t="s">
        <v>34</v>
      </c>
      <c r="B15" s="2" t="s">
        <v>32</v>
      </c>
      <c r="C15" s="2"/>
      <c r="G15" s="1">
        <v>1</v>
      </c>
      <c r="H15" s="1">
        <f t="shared" si="0"/>
        <v>1</v>
      </c>
      <c r="J15" s="3" t="s">
        <v>76</v>
      </c>
      <c r="K15" s="3" t="s">
        <v>149</v>
      </c>
      <c r="L15" s="3" t="s">
        <v>143</v>
      </c>
      <c r="M15" s="3" t="s">
        <v>77</v>
      </c>
      <c r="N15" s="3">
        <v>1.18</v>
      </c>
      <c r="P15" s="1" t="s">
        <v>161</v>
      </c>
      <c r="Q15" s="1" t="s">
        <v>164</v>
      </c>
      <c r="S15" s="1" t="s">
        <v>149</v>
      </c>
      <c r="T15" s="1" t="s">
        <v>143</v>
      </c>
      <c r="U15" s="1">
        <v>1</v>
      </c>
    </row>
    <row r="16" spans="1:21">
      <c r="A16" s="1" t="s">
        <v>0</v>
      </c>
      <c r="B16" s="1" t="s">
        <v>31</v>
      </c>
      <c r="C16" s="1">
        <v>1</v>
      </c>
      <c r="H16" s="1">
        <f t="shared" si="0"/>
        <v>1.5</v>
      </c>
      <c r="J16" s="3" t="s">
        <v>60</v>
      </c>
      <c r="K16" s="3" t="s">
        <v>142</v>
      </c>
      <c r="L16" s="3" t="s">
        <v>153</v>
      </c>
      <c r="M16" s="3" t="s">
        <v>61</v>
      </c>
      <c r="N16" s="3">
        <v>1.0900000000000001</v>
      </c>
      <c r="P16" s="1" t="s">
        <v>162</v>
      </c>
      <c r="Q16" s="1" t="s">
        <v>164</v>
      </c>
      <c r="S16" s="1" t="s">
        <v>151</v>
      </c>
      <c r="T16" s="1" t="s">
        <v>143</v>
      </c>
      <c r="U16" s="1">
        <v>1</v>
      </c>
    </row>
    <row r="17" spans="1:21">
      <c r="A17" s="1" t="s">
        <v>4</v>
      </c>
      <c r="B17" s="1" t="s">
        <v>31</v>
      </c>
      <c r="D17" s="1">
        <v>1</v>
      </c>
      <c r="H17" s="1">
        <f t="shared" si="0"/>
        <v>1.5</v>
      </c>
      <c r="J17" s="3" t="s">
        <v>72</v>
      </c>
      <c r="K17" s="3" t="s">
        <v>149</v>
      </c>
      <c r="L17" s="3" t="s">
        <v>145</v>
      </c>
      <c r="M17" s="3" t="s">
        <v>73</v>
      </c>
      <c r="N17" s="3">
        <v>0.87</v>
      </c>
      <c r="P17" s="1" t="s">
        <v>163</v>
      </c>
      <c r="Q17" s="1" t="s">
        <v>164</v>
      </c>
      <c r="S17" s="1" t="s">
        <v>152</v>
      </c>
      <c r="T17" s="1" t="s">
        <v>143</v>
      </c>
      <c r="U17" s="1">
        <v>1</v>
      </c>
    </row>
    <row r="18" spans="1:21">
      <c r="A18" s="1" t="s">
        <v>6</v>
      </c>
      <c r="B18" s="1" t="s">
        <v>31</v>
      </c>
      <c r="G18" s="1">
        <v>1</v>
      </c>
      <c r="H18" s="1">
        <f t="shared" si="0"/>
        <v>1.5</v>
      </c>
      <c r="J18" s="3" t="s">
        <v>56</v>
      </c>
      <c r="K18" s="3" t="s">
        <v>142</v>
      </c>
      <c r="L18" s="3" t="s">
        <v>143</v>
      </c>
      <c r="M18" s="3" t="s">
        <v>57</v>
      </c>
      <c r="N18" s="3">
        <v>0.78</v>
      </c>
      <c r="P18" s="1" t="s">
        <v>159</v>
      </c>
      <c r="Q18" s="1" t="s">
        <v>164</v>
      </c>
      <c r="S18" s="1" t="s">
        <v>142</v>
      </c>
      <c r="T18" s="1" t="s">
        <v>144</v>
      </c>
      <c r="U18" s="1">
        <v>1</v>
      </c>
    </row>
    <row r="19" spans="1:21">
      <c r="A19" s="1" t="s">
        <v>16</v>
      </c>
      <c r="B19" s="1" t="s">
        <v>31</v>
      </c>
      <c r="D19" s="1">
        <v>1</v>
      </c>
      <c r="H19" s="1">
        <f t="shared" si="0"/>
        <v>1.5</v>
      </c>
      <c r="J19" s="3" t="s">
        <v>88</v>
      </c>
      <c r="K19" s="3"/>
      <c r="L19" s="3"/>
      <c r="M19" s="3" t="s">
        <v>89</v>
      </c>
      <c r="N19" s="3">
        <v>0.66</v>
      </c>
      <c r="P19" s="1">
        <v>6</v>
      </c>
      <c r="Q19" s="1" t="s">
        <v>164</v>
      </c>
      <c r="S19" s="1" t="s">
        <v>142</v>
      </c>
      <c r="T19" s="1" t="s">
        <v>143</v>
      </c>
      <c r="U19" s="1">
        <v>1</v>
      </c>
    </row>
    <row r="20" spans="1:21">
      <c r="A20" s="1" t="s">
        <v>19</v>
      </c>
      <c r="B20" s="1" t="s">
        <v>31</v>
      </c>
      <c r="D20" s="1">
        <v>1</v>
      </c>
      <c r="H20" s="1">
        <f t="shared" si="0"/>
        <v>1.5</v>
      </c>
      <c r="J20" s="3" t="s">
        <v>58</v>
      </c>
      <c r="K20" s="3"/>
      <c r="L20" s="3"/>
      <c r="M20" s="3" t="s">
        <v>59</v>
      </c>
      <c r="N20" s="3">
        <v>0.63</v>
      </c>
      <c r="P20" s="1">
        <v>4</v>
      </c>
      <c r="Q20" s="1" t="s">
        <v>164</v>
      </c>
      <c r="S20" s="1" t="s">
        <v>142</v>
      </c>
      <c r="T20" s="1" t="s">
        <v>143</v>
      </c>
      <c r="U20" s="1">
        <v>1</v>
      </c>
    </row>
    <row r="21" spans="1:21">
      <c r="A21" s="1" t="s">
        <v>22</v>
      </c>
      <c r="B21" s="1" t="s">
        <v>31</v>
      </c>
      <c r="D21" s="1">
        <v>1</v>
      </c>
      <c r="H21" s="1">
        <f t="shared" si="0"/>
        <v>1.5</v>
      </c>
      <c r="J21" s="3" t="s">
        <v>86</v>
      </c>
      <c r="K21" s="3"/>
      <c r="L21" s="3"/>
      <c r="M21" s="3" t="s">
        <v>86</v>
      </c>
      <c r="N21" s="3">
        <v>0.63</v>
      </c>
      <c r="P21" s="1" t="s">
        <v>161</v>
      </c>
      <c r="Q21" s="1" t="s">
        <v>171</v>
      </c>
      <c r="R21" s="1" t="s">
        <v>157</v>
      </c>
      <c r="S21" s="1" t="s">
        <v>149</v>
      </c>
      <c r="T21" s="1" t="s">
        <v>144</v>
      </c>
      <c r="U21" s="1">
        <v>2</v>
      </c>
    </row>
    <row r="22" spans="1:21">
      <c r="A22" s="1" t="s">
        <v>12</v>
      </c>
      <c r="B22" s="1" t="s">
        <v>32</v>
      </c>
      <c r="E22" s="1">
        <v>1</v>
      </c>
      <c r="H22" s="1">
        <f t="shared" si="0"/>
        <v>1.5</v>
      </c>
      <c r="J22" s="3" t="s">
        <v>74</v>
      </c>
      <c r="K22" s="3" t="s">
        <v>149</v>
      </c>
      <c r="L22" s="3" t="s">
        <v>144</v>
      </c>
      <c r="M22" s="3" t="s">
        <v>75</v>
      </c>
      <c r="N22" s="3">
        <v>0.62</v>
      </c>
      <c r="P22" s="1" t="s">
        <v>162</v>
      </c>
      <c r="Q22" s="1" t="s">
        <v>171</v>
      </c>
      <c r="R22" s="1" t="s">
        <v>157</v>
      </c>
      <c r="S22" s="1" t="s">
        <v>151</v>
      </c>
      <c r="T22" s="1" t="s">
        <v>144</v>
      </c>
      <c r="U22" s="1">
        <v>2</v>
      </c>
    </row>
    <row r="23" spans="1:21">
      <c r="A23" s="1" t="s">
        <v>13</v>
      </c>
      <c r="B23" s="1" t="s">
        <v>32</v>
      </c>
      <c r="E23" s="1">
        <v>1</v>
      </c>
      <c r="H23" s="1">
        <f t="shared" si="0"/>
        <v>1.5</v>
      </c>
      <c r="J23" s="3" t="s">
        <v>90</v>
      </c>
      <c r="K23" s="3"/>
      <c r="L23" s="3"/>
      <c r="M23" s="3" t="s">
        <v>91</v>
      </c>
      <c r="N23" s="3">
        <f>(0.74+0.32)/2</f>
        <v>0.53</v>
      </c>
      <c r="P23" s="1" t="s">
        <v>163</v>
      </c>
      <c r="Q23" s="1" t="s">
        <v>171</v>
      </c>
      <c r="R23" s="1" t="s">
        <v>157</v>
      </c>
      <c r="S23" s="1" t="s">
        <v>152</v>
      </c>
      <c r="T23" s="1" t="s">
        <v>144</v>
      </c>
      <c r="U23" s="1">
        <v>2</v>
      </c>
    </row>
    <row r="24" spans="1:21">
      <c r="A24" s="1" t="s">
        <v>27</v>
      </c>
      <c r="B24" s="1" t="s">
        <v>32</v>
      </c>
      <c r="E24" s="1">
        <v>1</v>
      </c>
      <c r="H24" s="1">
        <f t="shared" si="0"/>
        <v>1.5</v>
      </c>
      <c r="J24" s="3" t="s">
        <v>87</v>
      </c>
      <c r="K24" s="3" t="s">
        <v>150</v>
      </c>
      <c r="L24" s="3"/>
      <c r="M24" s="3" t="s">
        <v>87</v>
      </c>
      <c r="N24" s="3">
        <v>0.51</v>
      </c>
    </row>
    <row r="25" spans="1:21">
      <c r="A25" s="1" t="s">
        <v>28</v>
      </c>
      <c r="B25" s="1" t="s">
        <v>32</v>
      </c>
      <c r="E25" s="1">
        <v>1</v>
      </c>
      <c r="H25" s="1">
        <f t="shared" si="0"/>
        <v>1.5</v>
      </c>
      <c r="J25" s="3" t="s">
        <v>78</v>
      </c>
      <c r="K25" s="3" t="s">
        <v>151</v>
      </c>
      <c r="L25" s="3"/>
      <c r="M25" s="3" t="s">
        <v>79</v>
      </c>
      <c r="N25" s="3">
        <v>0.49</v>
      </c>
    </row>
    <row r="26" spans="1:21">
      <c r="A26" s="1" t="s">
        <v>2</v>
      </c>
      <c r="B26" s="1" t="s">
        <v>31</v>
      </c>
      <c r="E26" s="1">
        <v>1</v>
      </c>
      <c r="H26" s="1">
        <f t="shared" si="0"/>
        <v>2</v>
      </c>
      <c r="J26" s="3" t="s">
        <v>80</v>
      </c>
      <c r="K26" s="3" t="s">
        <v>152</v>
      </c>
      <c r="L26" s="3"/>
      <c r="M26" s="3" t="s">
        <v>81</v>
      </c>
      <c r="N26" s="3">
        <v>0.44</v>
      </c>
    </row>
    <row r="27" spans="1:21">
      <c r="A27" s="1" t="s">
        <v>21</v>
      </c>
      <c r="B27" s="1" t="s">
        <v>31</v>
      </c>
      <c r="E27" s="1">
        <v>1</v>
      </c>
      <c r="H27" s="1">
        <f t="shared" si="0"/>
        <v>2</v>
      </c>
      <c r="J27" s="3" t="s">
        <v>92</v>
      </c>
      <c r="K27" s="3"/>
      <c r="L27" s="3"/>
      <c r="M27" s="3" t="s">
        <v>93</v>
      </c>
      <c r="N27" s="3">
        <f>(0.15+0.65)/2</f>
        <v>0.4</v>
      </c>
    </row>
    <row r="28" spans="1:21">
      <c r="A28" s="1" t="s">
        <v>23</v>
      </c>
      <c r="B28" s="1" t="s">
        <v>31</v>
      </c>
      <c r="E28" s="1">
        <v>1</v>
      </c>
      <c r="H28" s="1">
        <f t="shared" si="0"/>
        <v>2</v>
      </c>
      <c r="J28" s="3" t="s">
        <v>54</v>
      </c>
      <c r="K28" s="3" t="s">
        <v>142</v>
      </c>
      <c r="L28" s="3" t="s">
        <v>153</v>
      </c>
      <c r="M28" s="3" t="s">
        <v>55</v>
      </c>
      <c r="N28" s="3">
        <v>0.4</v>
      </c>
    </row>
    <row r="29" spans="1:21">
      <c r="A29" s="1" t="s">
        <v>15</v>
      </c>
      <c r="B29" s="1" t="s">
        <v>32</v>
      </c>
      <c r="C29" s="1">
        <v>1</v>
      </c>
      <c r="D29" s="1">
        <v>1</v>
      </c>
      <c r="H29" s="1">
        <f t="shared" si="0"/>
        <v>2</v>
      </c>
      <c r="J29" s="3" t="s">
        <v>62</v>
      </c>
      <c r="K29" s="3" t="s">
        <v>142</v>
      </c>
      <c r="L29" s="3" t="s">
        <v>154</v>
      </c>
      <c r="M29" s="3" t="s">
        <v>63</v>
      </c>
      <c r="N29" s="3">
        <v>0.36</v>
      </c>
    </row>
    <row r="30" spans="1:21">
      <c r="A30" s="1" t="s">
        <v>24</v>
      </c>
      <c r="B30" s="1" t="s">
        <v>32</v>
      </c>
      <c r="D30" s="1">
        <v>1</v>
      </c>
      <c r="G30" s="1">
        <v>1</v>
      </c>
      <c r="H30" s="1">
        <f t="shared" si="0"/>
        <v>2</v>
      </c>
      <c r="J30" s="3" t="s">
        <v>64</v>
      </c>
      <c r="K30" s="3" t="s">
        <v>142</v>
      </c>
      <c r="L30" s="3" t="s">
        <v>154</v>
      </c>
      <c r="M30" s="3" t="s">
        <v>65</v>
      </c>
      <c r="N30" s="3">
        <v>0.33</v>
      </c>
    </row>
    <row r="31" spans="1:21">
      <c r="A31" s="1" t="s">
        <v>17</v>
      </c>
      <c r="B31" s="1" t="s">
        <v>31</v>
      </c>
      <c r="C31" s="1">
        <v>1</v>
      </c>
      <c r="D31" s="1">
        <v>1</v>
      </c>
      <c r="H31" s="1">
        <f t="shared" si="0"/>
        <v>2.5</v>
      </c>
      <c r="J31" s="3" t="s">
        <v>46</v>
      </c>
      <c r="K31" s="3" t="s">
        <v>142</v>
      </c>
      <c r="L31" s="3" t="s">
        <v>153</v>
      </c>
      <c r="M31" s="3" t="s">
        <v>47</v>
      </c>
      <c r="N31" s="3">
        <v>0.25</v>
      </c>
    </row>
    <row r="32" spans="1:21">
      <c r="A32" s="1" t="s">
        <v>29</v>
      </c>
      <c r="B32" s="1" t="s">
        <v>32</v>
      </c>
      <c r="C32" s="1">
        <v>1</v>
      </c>
      <c r="E32" s="1">
        <v>1</v>
      </c>
      <c r="H32" s="1">
        <f t="shared" si="0"/>
        <v>2.5</v>
      </c>
      <c r="J32" s="3" t="s">
        <v>70</v>
      </c>
      <c r="K32" s="3" t="s">
        <v>149</v>
      </c>
      <c r="L32" s="3"/>
      <c r="M32" s="3" t="s">
        <v>71</v>
      </c>
      <c r="N32" s="3">
        <v>0</v>
      </c>
    </row>
    <row r="33" spans="1:14">
      <c r="A33" s="1" t="s">
        <v>1</v>
      </c>
      <c r="B33" s="1" t="s">
        <v>31</v>
      </c>
      <c r="E33" s="1">
        <v>1</v>
      </c>
      <c r="G33" s="1">
        <v>1</v>
      </c>
      <c r="H33" s="1">
        <f t="shared" si="0"/>
        <v>3</v>
      </c>
      <c r="J33" s="3" t="s">
        <v>84</v>
      </c>
      <c r="K33" s="3" t="s">
        <v>147</v>
      </c>
      <c r="L33" s="3"/>
      <c r="M33" s="3" t="s">
        <v>85</v>
      </c>
      <c r="N33" s="3">
        <v>0</v>
      </c>
    </row>
    <row r="34" spans="1:14">
      <c r="A34" s="1" t="s">
        <v>25</v>
      </c>
      <c r="B34" s="1" t="s">
        <v>31</v>
      </c>
      <c r="C34" s="1">
        <v>1</v>
      </c>
      <c r="E34" s="1">
        <v>1</v>
      </c>
      <c r="H34" s="1">
        <f t="shared" si="0"/>
        <v>3</v>
      </c>
      <c r="J34" s="3" t="s">
        <v>96</v>
      </c>
      <c r="K34" s="3" t="s">
        <v>148</v>
      </c>
      <c r="L34" s="3"/>
      <c r="M34" s="3" t="s">
        <v>97</v>
      </c>
      <c r="N34" s="3">
        <v>0</v>
      </c>
    </row>
  </sheetData>
  <mergeCells count="3">
    <mergeCell ref="A2:H2"/>
    <mergeCell ref="J2:N2"/>
    <mergeCell ref="P2:U2"/>
  </mergeCells>
  <phoneticPr fontId="3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"/>
  <sheetViews>
    <sheetView workbookViewId="0">
      <selection activeCell="E38" sqref="E38"/>
    </sheetView>
  </sheetViews>
  <sheetFormatPr defaultRowHeight="14.4"/>
  <cols>
    <col min="1" max="1" width="15.77734375" bestFit="1" customWidth="1"/>
    <col min="2" max="2" width="20.109375" bestFit="1" customWidth="1"/>
    <col min="3" max="3" width="29" bestFit="1" customWidth="1"/>
    <col min="4" max="4" width="28.109375" bestFit="1" customWidth="1"/>
    <col min="5" max="5" width="17.88671875" bestFit="1" customWidth="1"/>
    <col min="6" max="6" width="22" customWidth="1"/>
    <col min="7" max="7" width="21.6640625" bestFit="1" customWidth="1"/>
    <col min="8" max="8" width="18.44140625" bestFit="1" customWidth="1"/>
    <col min="9" max="9" width="17.6640625" bestFit="1" customWidth="1"/>
    <col min="10" max="10" width="18.88671875" bestFit="1" customWidth="1"/>
    <col min="11" max="11" width="17.33203125" bestFit="1" customWidth="1"/>
    <col min="12" max="12" width="16" bestFit="1" customWidth="1"/>
  </cols>
  <sheetData>
    <row r="1" spans="1:13">
      <c r="C1" s="10" t="s">
        <v>130</v>
      </c>
    </row>
    <row r="2" spans="1:13">
      <c r="C2" s="12" t="s">
        <v>175</v>
      </c>
    </row>
    <row r="3" spans="1:13">
      <c r="C3" s="26" t="s">
        <v>173</v>
      </c>
    </row>
    <row r="4" spans="1:13">
      <c r="A4" s="5" t="s">
        <v>174</v>
      </c>
    </row>
    <row r="5" spans="1:13">
      <c r="A5" s="8" t="s">
        <v>131</v>
      </c>
    </row>
    <row r="6" spans="1:13">
      <c r="A6" s="55" t="s">
        <v>203</v>
      </c>
    </row>
    <row r="7" spans="1:13">
      <c r="A7" s="57" t="s">
        <v>205</v>
      </c>
    </row>
    <row r="8" spans="1:13">
      <c r="A8" s="62" t="s">
        <v>208</v>
      </c>
    </row>
    <row r="9" spans="1:13">
      <c r="B9" s="56" t="s">
        <v>204</v>
      </c>
      <c r="C9" s="58" t="s">
        <v>106</v>
      </c>
      <c r="D9" s="5" t="s">
        <v>107</v>
      </c>
      <c r="E9" s="60" t="s">
        <v>108</v>
      </c>
      <c r="F9" s="60" t="s">
        <v>32</v>
      </c>
      <c r="G9" s="63" t="s">
        <v>109</v>
      </c>
      <c r="H9" s="14" t="s">
        <v>110</v>
      </c>
      <c r="I9" s="15" t="s">
        <v>111</v>
      </c>
      <c r="J9" s="15" t="s">
        <v>112</v>
      </c>
      <c r="K9" s="15" t="s">
        <v>113</v>
      </c>
      <c r="L9" s="14" t="s">
        <v>114</v>
      </c>
    </row>
    <row r="10" spans="1:13" ht="40.5" customHeight="1">
      <c r="C10" s="59" t="s">
        <v>207</v>
      </c>
      <c r="D10" s="27" t="s">
        <v>186</v>
      </c>
      <c r="E10" s="61" t="s">
        <v>102</v>
      </c>
      <c r="F10" s="59" t="s">
        <v>206</v>
      </c>
      <c r="G10" s="64" t="s">
        <v>209</v>
      </c>
      <c r="H10" s="13" t="s">
        <v>78</v>
      </c>
      <c r="I10" s="9" t="s">
        <v>98</v>
      </c>
      <c r="J10" s="9" t="s">
        <v>99</v>
      </c>
      <c r="K10" s="9" t="s">
        <v>100</v>
      </c>
      <c r="L10" s="13" t="s">
        <v>82</v>
      </c>
    </row>
    <row r="11" spans="1:13">
      <c r="C11" s="20" t="s">
        <v>115</v>
      </c>
      <c r="D11" s="17" t="s">
        <v>116</v>
      </c>
      <c r="E11" s="17" t="s">
        <v>117</v>
      </c>
      <c r="F11" s="16" t="s">
        <v>118</v>
      </c>
      <c r="G11" s="18" t="s">
        <v>119</v>
      </c>
      <c r="H11" s="18" t="s">
        <v>120</v>
      </c>
      <c r="I11" s="18" t="s">
        <v>121</v>
      </c>
      <c r="J11" s="18" t="s">
        <v>122</v>
      </c>
      <c r="K11" s="18" t="s">
        <v>31</v>
      </c>
      <c r="L11" s="5" t="s">
        <v>26</v>
      </c>
      <c r="M11" s="4"/>
    </row>
    <row r="12" spans="1:13" ht="40.5" customHeight="1">
      <c r="C12" s="6" t="s">
        <v>177</v>
      </c>
      <c r="D12" s="11" t="s">
        <v>105</v>
      </c>
      <c r="E12" s="11" t="s">
        <v>104</v>
      </c>
      <c r="F12" s="9" t="s">
        <v>103</v>
      </c>
      <c r="G12" s="6" t="s">
        <v>177</v>
      </c>
      <c r="H12" s="6" t="s">
        <v>176</v>
      </c>
      <c r="I12" s="6" t="s">
        <v>178</v>
      </c>
      <c r="J12" s="6" t="s">
        <v>179</v>
      </c>
      <c r="K12" s="6" t="s">
        <v>180</v>
      </c>
      <c r="L12" s="6" t="s">
        <v>181</v>
      </c>
    </row>
    <row r="13" spans="1:13">
      <c r="C13" s="14" t="s">
        <v>129</v>
      </c>
      <c r="D13" s="14" t="s">
        <v>128</v>
      </c>
      <c r="E13" s="14" t="s">
        <v>127</v>
      </c>
      <c r="F13" s="14" t="s">
        <v>126</v>
      </c>
      <c r="G13" s="18" t="s">
        <v>125</v>
      </c>
      <c r="H13" s="20" t="s">
        <v>123</v>
      </c>
      <c r="I13" s="18" t="s">
        <v>124</v>
      </c>
      <c r="J13" s="5" t="s">
        <v>27</v>
      </c>
      <c r="K13" s="20" t="s">
        <v>28</v>
      </c>
      <c r="L13" s="19"/>
    </row>
    <row r="14" spans="1:13" ht="40.5" customHeight="1">
      <c r="C14" s="13" t="s">
        <v>87</v>
      </c>
      <c r="D14" s="13" t="s">
        <v>80</v>
      </c>
      <c r="E14" s="13" t="s">
        <v>78</v>
      </c>
      <c r="F14" s="13" t="s">
        <v>82</v>
      </c>
      <c r="G14" s="27" t="s">
        <v>187</v>
      </c>
      <c r="H14" s="6" t="s">
        <v>185</v>
      </c>
      <c r="I14" s="27" t="s">
        <v>184</v>
      </c>
      <c r="J14" s="27" t="s">
        <v>183</v>
      </c>
      <c r="K14" s="6" t="s">
        <v>182</v>
      </c>
      <c r="L14" s="7"/>
    </row>
    <row r="16" spans="1:13">
      <c r="B16" s="56" t="s">
        <v>214</v>
      </c>
      <c r="C16" s="69"/>
      <c r="D16" s="75"/>
      <c r="E16" s="60" t="s">
        <v>108</v>
      </c>
      <c r="F16" s="60" t="s">
        <v>32</v>
      </c>
      <c r="G16" s="63" t="s">
        <v>109</v>
      </c>
      <c r="H16" s="14" t="s">
        <v>110</v>
      </c>
      <c r="I16" s="15" t="s">
        <v>111</v>
      </c>
      <c r="J16" s="15" t="s">
        <v>112</v>
      </c>
      <c r="K16" s="15" t="s">
        <v>113</v>
      </c>
      <c r="L16" s="14" t="s">
        <v>114</v>
      </c>
    </row>
    <row r="17" spans="2:12" ht="40.5" customHeight="1">
      <c r="C17" s="70"/>
      <c r="D17" s="76"/>
      <c r="E17" s="61" t="s">
        <v>102</v>
      </c>
      <c r="F17" s="59" t="s">
        <v>206</v>
      </c>
      <c r="G17" s="64" t="s">
        <v>209</v>
      </c>
      <c r="H17" s="13" t="s">
        <v>78</v>
      </c>
      <c r="I17" s="9" t="s">
        <v>98</v>
      </c>
      <c r="J17" s="9" t="s">
        <v>99</v>
      </c>
      <c r="K17" s="9" t="s">
        <v>100</v>
      </c>
      <c r="L17" s="13" t="s">
        <v>82</v>
      </c>
    </row>
    <row r="18" spans="2:12">
      <c r="C18" s="71"/>
      <c r="D18" s="77"/>
      <c r="E18" s="17" t="s">
        <v>117</v>
      </c>
      <c r="F18" s="16" t="s">
        <v>118</v>
      </c>
      <c r="G18" s="18" t="s">
        <v>119</v>
      </c>
      <c r="H18" s="18" t="s">
        <v>120</v>
      </c>
      <c r="I18" s="18" t="s">
        <v>121</v>
      </c>
      <c r="J18" s="18" t="s">
        <v>122</v>
      </c>
      <c r="K18" s="18" t="s">
        <v>31</v>
      </c>
      <c r="L18" s="5" t="s">
        <v>26</v>
      </c>
    </row>
    <row r="19" spans="2:12" ht="40.5" customHeight="1">
      <c r="C19" s="72"/>
      <c r="D19" s="78"/>
      <c r="E19" s="11" t="s">
        <v>104</v>
      </c>
      <c r="F19" s="9" t="s">
        <v>103</v>
      </c>
      <c r="G19" s="6" t="s">
        <v>177</v>
      </c>
      <c r="H19" s="6" t="s">
        <v>176</v>
      </c>
      <c r="I19" s="6" t="s">
        <v>178</v>
      </c>
      <c r="J19" s="6" t="s">
        <v>179</v>
      </c>
      <c r="K19" s="6" t="s">
        <v>180</v>
      </c>
      <c r="L19" s="6" t="s">
        <v>181</v>
      </c>
    </row>
    <row r="20" spans="2:12">
      <c r="C20" s="73"/>
      <c r="D20" s="73"/>
      <c r="E20" s="14" t="s">
        <v>127</v>
      </c>
      <c r="F20" s="14" t="s">
        <v>126</v>
      </c>
      <c r="G20" s="18" t="s">
        <v>125</v>
      </c>
      <c r="H20" s="20" t="s">
        <v>123</v>
      </c>
      <c r="I20" s="18" t="s">
        <v>124</v>
      </c>
      <c r="J20" s="5" t="s">
        <v>27</v>
      </c>
      <c r="K20" s="20" t="s">
        <v>28</v>
      </c>
      <c r="L20" s="19"/>
    </row>
    <row r="21" spans="2:12">
      <c r="C21" s="74"/>
      <c r="D21" s="74"/>
      <c r="E21" s="13" t="s">
        <v>78</v>
      </c>
      <c r="F21" s="13" t="s">
        <v>82</v>
      </c>
      <c r="G21" s="27" t="s">
        <v>187</v>
      </c>
      <c r="H21" s="6" t="s">
        <v>185</v>
      </c>
      <c r="I21" s="27" t="s">
        <v>184</v>
      </c>
      <c r="J21" s="27" t="s">
        <v>183</v>
      </c>
      <c r="K21" s="6" t="s">
        <v>182</v>
      </c>
      <c r="L21" s="7"/>
    </row>
    <row r="23" spans="2:12">
      <c r="B23" s="56" t="s">
        <v>210</v>
      </c>
      <c r="C23" s="58" t="s">
        <v>106</v>
      </c>
      <c r="D23" s="58" t="s">
        <v>106</v>
      </c>
      <c r="E23" s="60" t="s">
        <v>108</v>
      </c>
      <c r="F23" s="60" t="s">
        <v>32</v>
      </c>
      <c r="G23" s="30"/>
      <c r="H23" s="14" t="s">
        <v>110</v>
      </c>
      <c r="I23" s="30" t="s">
        <v>111</v>
      </c>
      <c r="J23" s="30" t="s">
        <v>112</v>
      </c>
      <c r="K23" s="60" t="s">
        <v>113</v>
      </c>
      <c r="L23" s="14" t="s">
        <v>114</v>
      </c>
    </row>
    <row r="24" spans="2:12" ht="31.5" customHeight="1">
      <c r="C24" s="59" t="s">
        <v>207</v>
      </c>
      <c r="D24" s="59" t="s">
        <v>188</v>
      </c>
      <c r="E24" s="61" t="s">
        <v>102</v>
      </c>
      <c r="F24" s="59" t="s">
        <v>206</v>
      </c>
      <c r="G24" s="32"/>
      <c r="H24" s="13" t="s">
        <v>78</v>
      </c>
      <c r="I24" s="32"/>
      <c r="J24" s="32"/>
      <c r="K24" s="59" t="s">
        <v>212</v>
      </c>
      <c r="L24" s="13" t="s">
        <v>211</v>
      </c>
    </row>
    <row r="25" spans="2:12">
      <c r="C25" s="33" t="s">
        <v>115</v>
      </c>
      <c r="D25" s="33" t="s">
        <v>116</v>
      </c>
      <c r="E25" s="65" t="s">
        <v>117</v>
      </c>
      <c r="F25" s="33" t="s">
        <v>118</v>
      </c>
      <c r="G25" s="30" t="s">
        <v>119</v>
      </c>
      <c r="H25" s="30" t="s">
        <v>120</v>
      </c>
      <c r="I25" s="60" t="s">
        <v>121</v>
      </c>
      <c r="J25" s="60" t="s">
        <v>122</v>
      </c>
      <c r="K25" s="30" t="s">
        <v>31</v>
      </c>
      <c r="L25" s="34" t="s">
        <v>26</v>
      </c>
    </row>
    <row r="26" spans="2:12" ht="30" customHeight="1">
      <c r="C26" s="31"/>
      <c r="D26" s="32"/>
      <c r="E26" s="59" t="s">
        <v>189</v>
      </c>
      <c r="F26" s="32"/>
      <c r="G26" s="31"/>
      <c r="H26" s="31"/>
      <c r="I26" s="61" t="s">
        <v>212</v>
      </c>
      <c r="J26" s="61" t="s">
        <v>212</v>
      </c>
      <c r="K26" s="31"/>
      <c r="L26" s="31"/>
    </row>
    <row r="27" spans="2:12">
      <c r="C27" s="30" t="s">
        <v>129</v>
      </c>
      <c r="D27" s="30" t="s">
        <v>128</v>
      </c>
      <c r="E27" s="30" t="s">
        <v>127</v>
      </c>
      <c r="F27" s="30" t="s">
        <v>126</v>
      </c>
      <c r="G27" s="30" t="s">
        <v>125</v>
      </c>
      <c r="H27" s="33" t="s">
        <v>123</v>
      </c>
      <c r="I27" s="30" t="s">
        <v>124</v>
      </c>
      <c r="J27" s="34" t="s">
        <v>27</v>
      </c>
      <c r="K27" s="33" t="s">
        <v>28</v>
      </c>
      <c r="L27" s="33"/>
    </row>
    <row r="28" spans="2:12" ht="30" customHeight="1">
      <c r="C28" s="31"/>
      <c r="D28" s="31"/>
      <c r="E28" s="31"/>
      <c r="F28" s="31"/>
      <c r="G28" s="32"/>
      <c r="H28" s="31"/>
      <c r="I28" s="32"/>
      <c r="J28" s="32"/>
      <c r="K28" s="31"/>
      <c r="L28" s="31"/>
    </row>
    <row r="30" spans="2:12">
      <c r="B30" s="56" t="s">
        <v>213</v>
      </c>
      <c r="C30" s="67" t="s">
        <v>106</v>
      </c>
      <c r="D30" s="67" t="s">
        <v>106</v>
      </c>
      <c r="E30" s="68" t="s">
        <v>108</v>
      </c>
      <c r="F30" s="68" t="s">
        <v>32</v>
      </c>
      <c r="G30" s="68"/>
      <c r="H30" s="68" t="s">
        <v>110</v>
      </c>
      <c r="I30" s="68" t="s">
        <v>111</v>
      </c>
      <c r="J30" s="68" t="s">
        <v>112</v>
      </c>
      <c r="K30" s="68" t="s">
        <v>113</v>
      </c>
      <c r="L30" s="68" t="s">
        <v>114</v>
      </c>
    </row>
    <row r="31" spans="2:12" ht="43.2">
      <c r="B31" s="79" t="s">
        <v>215</v>
      </c>
      <c r="C31" s="66" t="str">
        <f>C10&amp;CHAR(10)&amp;C17&amp;CHAR(10)&amp;C24</f>
        <v>delete from begin
delete from begin</v>
      </c>
      <c r="D31" s="66" t="str">
        <f t="shared" ref="D31:L31" si="0">D10&amp;CHAR(10)&amp;D17&amp;CHAR(10)&amp;D24</f>
        <v>3 word right
delete to begin</v>
      </c>
      <c r="E31" s="66" t="str">
        <f t="shared" si="0"/>
        <v>delete current line
delete current line
delete current line</v>
      </c>
      <c r="F31" s="66" t="str">
        <f t="shared" si="0"/>
        <v>delete from end
delete from end
delete from end</v>
      </c>
      <c r="G31" s="66" t="str">
        <f t="shared" si="0"/>
        <v xml:space="preserve">selet
selet
</v>
      </c>
      <c r="H31" s="66" t="str">
        <f t="shared" si="0"/>
        <v>copy
copy
copy</v>
      </c>
      <c r="I31" s="66" t="str">
        <f t="shared" si="0"/>
        <v xml:space="preserve">select to Left word
select to Left word
</v>
      </c>
      <c r="J31" s="66" t="str">
        <f t="shared" si="0"/>
        <v xml:space="preserve">select to Right word
select to Right word
</v>
      </c>
      <c r="K31" s="66" t="str">
        <f t="shared" si="0"/>
        <v>select current line
select current line
insert new line</v>
      </c>
      <c r="L31" s="66" t="str">
        <f t="shared" si="0"/>
        <v>paste
paste
paste to end</v>
      </c>
    </row>
    <row r="32" spans="2:12">
      <c r="C32" s="68" t="s">
        <v>115</v>
      </c>
      <c r="D32" s="68" t="s">
        <v>116</v>
      </c>
      <c r="E32" s="68" t="s">
        <v>117</v>
      </c>
      <c r="F32" s="68" t="s">
        <v>118</v>
      </c>
      <c r="G32" s="68" t="s">
        <v>119</v>
      </c>
      <c r="H32" s="68" t="s">
        <v>120</v>
      </c>
      <c r="I32" s="68" t="s">
        <v>121</v>
      </c>
      <c r="J32" s="68" t="s">
        <v>122</v>
      </c>
      <c r="K32" s="68" t="s">
        <v>31</v>
      </c>
      <c r="L32" s="67" t="s">
        <v>26</v>
      </c>
    </row>
    <row r="33" spans="2:12" ht="43.2">
      <c r="B33" s="79" t="s">
        <v>215</v>
      </c>
      <c r="C33" s="66" t="str">
        <f t="shared" ref="C33:L33" si="1">C12&amp;CHAR(10)&amp;C19&amp;CHAR(10)&amp;C26</f>
        <v xml:space="preserve">line begin
</v>
      </c>
      <c r="D33" s="66" t="str">
        <f t="shared" si="1"/>
        <v xml:space="preserve">save
</v>
      </c>
      <c r="E33" s="66" t="str">
        <f t="shared" si="1"/>
        <v>delete
delete
delete to end</v>
      </c>
      <c r="F33" s="66" t="str">
        <f t="shared" si="1"/>
        <v xml:space="preserve">deselect
deselect
</v>
      </c>
      <c r="G33" s="66" t="str">
        <f t="shared" si="1"/>
        <v xml:space="preserve">line begin
line begin
</v>
      </c>
      <c r="H33" s="66" t="str">
        <f t="shared" si="1"/>
        <v xml:space="preserve">word left
word left
</v>
      </c>
      <c r="I33" s="66" t="str">
        <f t="shared" si="1"/>
        <v>line down
line down
insert new line</v>
      </c>
      <c r="J33" s="66" t="str">
        <f t="shared" si="1"/>
        <v>line up
line up
insert new line</v>
      </c>
      <c r="K33" s="66" t="str">
        <f t="shared" si="1"/>
        <v xml:space="preserve">word right
word right
</v>
      </c>
      <c r="L33" s="66" t="str">
        <f t="shared" si="1"/>
        <v xml:space="preserve">line end
line end
</v>
      </c>
    </row>
    <row r="34" spans="2:12">
      <c r="C34" s="68" t="s">
        <v>129</v>
      </c>
      <c r="D34" s="68" t="s">
        <v>128</v>
      </c>
      <c r="E34" s="68" t="s">
        <v>127</v>
      </c>
      <c r="F34" s="68" t="s">
        <v>126</v>
      </c>
      <c r="G34" s="68" t="s">
        <v>125</v>
      </c>
      <c r="H34" s="68" t="s">
        <v>123</v>
      </c>
      <c r="I34" s="68" t="s">
        <v>124</v>
      </c>
      <c r="J34" s="67" t="s">
        <v>27</v>
      </c>
      <c r="K34" s="68" t="s">
        <v>28</v>
      </c>
      <c r="L34" s="68"/>
    </row>
    <row r="35" spans="2:12" ht="43.2">
      <c r="B35" s="79" t="s">
        <v>215</v>
      </c>
      <c r="C35" s="66" t="str">
        <f t="shared" ref="C35:L35" si="2">C14&amp;CHAR(10)&amp;C21&amp;CHAR(10)&amp;C28</f>
        <v xml:space="preserve">undo
</v>
      </c>
      <c r="D35" s="66" t="str">
        <f t="shared" si="2"/>
        <v xml:space="preserve">cut
</v>
      </c>
      <c r="E35" s="66" t="str">
        <f t="shared" si="2"/>
        <v xml:space="preserve">copy
copy
</v>
      </c>
      <c r="F35" s="66" t="str">
        <f t="shared" si="2"/>
        <v xml:space="preserve">paste
paste
</v>
      </c>
      <c r="G35" s="66" t="str">
        <f t="shared" si="2"/>
        <v xml:space="preserve">3 word left
3 word left
</v>
      </c>
      <c r="H35" s="66" t="str">
        <f t="shared" si="2"/>
        <v xml:space="preserve">char left
char left
</v>
      </c>
      <c r="I35" s="66" t="str">
        <f t="shared" si="2"/>
        <v xml:space="preserve">5 line down
5 line down
</v>
      </c>
      <c r="J35" s="66" t="str">
        <f t="shared" si="2"/>
        <v xml:space="preserve">5 line up
5 line up
</v>
      </c>
      <c r="K35" s="66" t="str">
        <f t="shared" si="2"/>
        <v xml:space="preserve">char right
char right
</v>
      </c>
      <c r="L35" s="66" t="str">
        <f t="shared" si="2"/>
        <v xml:space="preserve">
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90B1-54D9-48E6-900C-8614B8CAC730}">
  <dimension ref="C3:J28"/>
  <sheetViews>
    <sheetView tabSelected="1" topLeftCell="A2" workbookViewId="0">
      <selection activeCell="M7" sqref="M7"/>
    </sheetView>
  </sheetViews>
  <sheetFormatPr defaultRowHeight="14.4"/>
  <cols>
    <col min="3" max="3" width="9.44140625" bestFit="1" customWidth="1"/>
    <col min="4" max="4" width="13.21875" bestFit="1" customWidth="1"/>
    <col min="5" max="5" width="19.88671875" bestFit="1" customWidth="1"/>
    <col min="6" max="6" width="13.5546875" bestFit="1" customWidth="1"/>
    <col min="7" max="7" width="11.5546875" bestFit="1" customWidth="1"/>
    <col min="8" max="8" width="12" bestFit="1" customWidth="1"/>
    <col min="9" max="9" width="16.21875" bestFit="1" customWidth="1"/>
    <col min="10" max="10" width="18.5546875" bestFit="1" customWidth="1"/>
  </cols>
  <sheetData>
    <row r="3" spans="3:10">
      <c r="C3" s="49" t="s">
        <v>201</v>
      </c>
      <c r="D3" s="7" t="s">
        <v>202</v>
      </c>
      <c r="E3" s="7" t="s">
        <v>216</v>
      </c>
      <c r="F3" s="7" t="s">
        <v>217</v>
      </c>
      <c r="G3" s="7" t="s">
        <v>104</v>
      </c>
      <c r="H3" s="7" t="s">
        <v>101</v>
      </c>
      <c r="I3" s="7" t="s">
        <v>78</v>
      </c>
      <c r="J3" s="50" t="s">
        <v>80</v>
      </c>
    </row>
    <row r="4" spans="3:10">
      <c r="C4" s="41" t="s">
        <v>190</v>
      </c>
      <c r="D4" s="28" t="s">
        <v>197</v>
      </c>
      <c r="E4" s="37">
        <v>1</v>
      </c>
      <c r="F4" s="37">
        <v>1</v>
      </c>
      <c r="G4" s="37"/>
      <c r="H4" s="37"/>
      <c r="I4" s="37"/>
      <c r="J4" s="45"/>
    </row>
    <row r="5" spans="3:10">
      <c r="C5" s="41" t="s">
        <v>190</v>
      </c>
      <c r="D5" s="28" t="s">
        <v>196</v>
      </c>
      <c r="E5" s="37">
        <v>1</v>
      </c>
      <c r="F5" s="37">
        <v>1</v>
      </c>
      <c r="G5" s="37"/>
      <c r="H5" s="37"/>
      <c r="I5" s="37"/>
      <c r="J5" s="45"/>
    </row>
    <row r="6" spans="3:10">
      <c r="C6" s="42" t="s">
        <v>194</v>
      </c>
      <c r="D6" s="29" t="s">
        <v>197</v>
      </c>
      <c r="E6" s="38">
        <v>2</v>
      </c>
      <c r="F6" s="38">
        <v>1</v>
      </c>
      <c r="G6" s="38"/>
      <c r="H6" s="38"/>
      <c r="I6" s="38"/>
      <c r="J6" s="46"/>
    </row>
    <row r="7" spans="3:10">
      <c r="C7" s="42" t="s">
        <v>194</v>
      </c>
      <c r="D7" s="29" t="s">
        <v>196</v>
      </c>
      <c r="E7" s="38">
        <v>2</v>
      </c>
      <c r="F7" s="38">
        <v>1</v>
      </c>
      <c r="G7" s="38"/>
      <c r="H7" s="38"/>
      <c r="I7" s="38"/>
      <c r="J7" s="46"/>
    </row>
    <row r="8" spans="3:10">
      <c r="C8" s="42" t="s">
        <v>194</v>
      </c>
      <c r="D8" s="29" t="s">
        <v>199</v>
      </c>
      <c r="E8" s="38">
        <v>1</v>
      </c>
      <c r="F8" s="38" t="s">
        <v>12</v>
      </c>
      <c r="G8" s="38"/>
      <c r="H8" s="38"/>
      <c r="I8" s="38"/>
      <c r="J8" s="46"/>
    </row>
    <row r="9" spans="3:10">
      <c r="C9" s="42" t="s">
        <v>194</v>
      </c>
      <c r="D9" s="29" t="s">
        <v>200</v>
      </c>
      <c r="E9" s="38">
        <v>1</v>
      </c>
      <c r="F9" s="38" t="s">
        <v>12</v>
      </c>
      <c r="G9" s="38"/>
      <c r="H9" s="38"/>
      <c r="I9" s="38"/>
      <c r="J9" s="46"/>
    </row>
    <row r="10" spans="3:10">
      <c r="C10" s="42" t="s">
        <v>194</v>
      </c>
      <c r="D10" s="29" t="s">
        <v>191</v>
      </c>
      <c r="E10" s="38">
        <v>1</v>
      </c>
      <c r="F10" s="38">
        <v>1</v>
      </c>
      <c r="G10" s="38"/>
      <c r="H10" s="38"/>
      <c r="I10" s="38"/>
      <c r="J10" s="46"/>
    </row>
    <row r="11" spans="3:10">
      <c r="C11" s="42" t="s">
        <v>194</v>
      </c>
      <c r="D11" s="29" t="s">
        <v>192</v>
      </c>
      <c r="E11" s="38">
        <v>1</v>
      </c>
      <c r="F11" s="38">
        <v>1</v>
      </c>
      <c r="G11" s="38"/>
      <c r="H11" s="38"/>
      <c r="I11" s="38"/>
      <c r="J11" s="46"/>
    </row>
    <row r="12" spans="3:10">
      <c r="C12" s="42" t="s">
        <v>194</v>
      </c>
      <c r="D12" s="29" t="s">
        <v>193</v>
      </c>
      <c r="E12" s="38">
        <v>1</v>
      </c>
      <c r="F12" s="38">
        <v>2</v>
      </c>
      <c r="G12" s="38"/>
      <c r="H12" s="38"/>
      <c r="I12" s="38"/>
      <c r="J12" s="46"/>
    </row>
    <row r="13" spans="3:10">
      <c r="C13" s="43" t="s">
        <v>195</v>
      </c>
      <c r="D13" s="35" t="s">
        <v>197</v>
      </c>
      <c r="E13" s="39">
        <v>2</v>
      </c>
      <c r="F13" s="39">
        <v>1</v>
      </c>
      <c r="G13" s="39"/>
      <c r="H13" s="39"/>
      <c r="I13" s="39"/>
      <c r="J13" s="47"/>
    </row>
    <row r="14" spans="3:10">
      <c r="C14" s="43" t="s">
        <v>195</v>
      </c>
      <c r="D14" s="35" t="s">
        <v>196</v>
      </c>
      <c r="E14" s="39">
        <v>2</v>
      </c>
      <c r="F14" s="39">
        <v>1</v>
      </c>
      <c r="G14" s="39"/>
      <c r="H14" s="39"/>
      <c r="I14" s="39"/>
      <c r="J14" s="47"/>
    </row>
    <row r="15" spans="3:10">
      <c r="C15" s="43" t="s">
        <v>195</v>
      </c>
      <c r="D15" s="35" t="s">
        <v>199</v>
      </c>
      <c r="E15" s="39">
        <v>1</v>
      </c>
      <c r="F15" s="39" t="s">
        <v>12</v>
      </c>
      <c r="G15" s="39"/>
      <c r="H15" s="39"/>
      <c r="I15" s="39"/>
      <c r="J15" s="47"/>
    </row>
    <row r="16" spans="3:10">
      <c r="C16" s="43" t="s">
        <v>195</v>
      </c>
      <c r="D16" s="35" t="s">
        <v>200</v>
      </c>
      <c r="E16" s="39">
        <v>1</v>
      </c>
      <c r="F16" s="39" t="s">
        <v>12</v>
      </c>
      <c r="G16" s="39"/>
      <c r="H16" s="39"/>
      <c r="I16" s="39"/>
      <c r="J16" s="47"/>
    </row>
    <row r="17" spans="3:10">
      <c r="C17" s="43" t="s">
        <v>195</v>
      </c>
      <c r="D17" s="35" t="s">
        <v>191</v>
      </c>
      <c r="E17" s="39">
        <v>2</v>
      </c>
      <c r="F17" s="39">
        <v>1</v>
      </c>
      <c r="G17" s="39"/>
      <c r="H17" s="39"/>
      <c r="I17" s="39"/>
      <c r="J17" s="47"/>
    </row>
    <row r="18" spans="3:10">
      <c r="C18" s="43" t="s">
        <v>195</v>
      </c>
      <c r="D18" s="35" t="s">
        <v>192</v>
      </c>
      <c r="E18" s="39">
        <v>2</v>
      </c>
      <c r="F18" s="39">
        <v>1</v>
      </c>
      <c r="G18" s="39"/>
      <c r="H18" s="39"/>
      <c r="I18" s="39"/>
      <c r="J18" s="47"/>
    </row>
    <row r="19" spans="3:10">
      <c r="C19" s="43" t="s">
        <v>195</v>
      </c>
      <c r="D19" s="35" t="s">
        <v>193</v>
      </c>
      <c r="E19" s="39">
        <v>2</v>
      </c>
      <c r="F19" s="39">
        <v>2</v>
      </c>
      <c r="G19" s="39"/>
      <c r="H19" s="39"/>
      <c r="I19" s="39"/>
      <c r="J19" s="47"/>
    </row>
    <row r="20" spans="3:10">
      <c r="C20" s="44" t="s">
        <v>198</v>
      </c>
      <c r="D20" s="36" t="s">
        <v>191</v>
      </c>
      <c r="E20" s="40">
        <v>1</v>
      </c>
      <c r="F20" s="40">
        <v>2</v>
      </c>
      <c r="G20" s="40"/>
      <c r="H20" s="40"/>
      <c r="I20" s="40"/>
      <c r="J20" s="48"/>
    </row>
    <row r="21" spans="3:10">
      <c r="C21" s="44" t="s">
        <v>198</v>
      </c>
      <c r="D21" s="36" t="s">
        <v>192</v>
      </c>
      <c r="E21" s="40">
        <v>1</v>
      </c>
      <c r="F21" s="40">
        <v>2</v>
      </c>
      <c r="G21" s="40"/>
      <c r="H21" s="40"/>
      <c r="I21" s="40"/>
      <c r="J21" s="48"/>
    </row>
    <row r="22" spans="3:10">
      <c r="C22" s="51" t="s">
        <v>198</v>
      </c>
      <c r="D22" s="52" t="s">
        <v>193</v>
      </c>
      <c r="E22" s="53">
        <v>1</v>
      </c>
      <c r="F22" s="53">
        <v>5</v>
      </c>
      <c r="G22" s="53"/>
      <c r="H22" s="53"/>
      <c r="I22" s="53"/>
      <c r="J22" s="54"/>
    </row>
    <row r="24" spans="3:10">
      <c r="C24" t="s">
        <v>104</v>
      </c>
    </row>
    <row r="25" spans="3:10">
      <c r="C25" t="s">
        <v>78</v>
      </c>
    </row>
    <row r="26" spans="3:10">
      <c r="C26" t="s">
        <v>82</v>
      </c>
    </row>
    <row r="27" spans="3:10">
      <c r="C27" t="s">
        <v>80</v>
      </c>
    </row>
    <row r="28" spans="3:10">
      <c r="C28" t="s">
        <v>101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analyze</vt:lpstr>
      <vt:lpstr>position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2024-02-23T06:00:23Z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2024-01-11T04:30:15Z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fa53e0f0-afb0-4d2d-94eb-0d204275c7c5</vt:lpwstr>
  </property>
  <property fmtid="{D5CDD505-2E9C-101B-9397-08002B2CF9AE}" pid="8" name="MSIP_Label_dad3be33-4108-4738-9e07-d8656a181486_ContentBits">
    <vt:lpwstr>0</vt:lpwstr>
  </property>
</Properties>
</file>